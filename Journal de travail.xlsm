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filterPrivacy="1" codeName="ThisWorkbook"/>
  <xr:revisionPtr revIDLastSave="695" documentId="13_ncr:1_{38B71DBE-3033-4D0B-9464-A1A63DD72C18}" xr6:coauthVersionLast="47" xr6:coauthVersionMax="47" xr10:uidLastSave="{9EC80E50-AA72-493B-93E4-DB0522DB01CC}"/>
  <bookViews>
    <workbookView xWindow="-120" yWindow="-120" windowWidth="29040" windowHeight="15720" activeTab="1" xr2:uid="{00000000-000D-0000-FFFF-FFFF00000000}"/>
  </bookViews>
  <sheets>
    <sheet name="Journal" sheetId="1" r:id="rId1"/>
    <sheet name="Totaux" sheetId="4" r:id="rId2"/>
    <sheet name="Paramètres" sheetId="2" r:id="rId3"/>
  </sheets>
  <definedNames>
    <definedName name="_xleta.SUM" hidden="1" xlm="1">#NAME?</definedName>
    <definedName name="base">Journal!$A$6</definedName>
    <definedName name="_xlnm.Print_Area" localSheetId="0">Journal!$A$6:$F$92</definedName>
  </definedNames>
  <calcPr calcId="191029"/>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K6" i="4" l="1"/>
  <c r="K4" i="4" s="1"/>
  <c r="I6" i="4"/>
  <c r="L4" i="4" s="1"/>
  <c r="I4" i="4"/>
</calcChain>
</file>

<file path=xl/sharedStrings.xml><?xml version="1.0" encoding="utf-8"?>
<sst xmlns="http://schemas.openxmlformats.org/spreadsheetml/2006/main" count="202" uniqueCount="113">
  <si>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</si>
  <si>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</si>
  <si>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</si>
  <si>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</si>
  <si>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</si>
  <si>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</si>
  <si>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</si>
  <si>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</si>
  <si>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</si>
  <si>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</si>
  <si>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</si>
  <si>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</si>
  <si>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</si>
  <si>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</si>
  <si>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 xml:space="preserve"> </t>
  </si>
  <si>
    <t>Réflexion</t>
  </si>
  <si>
    <t>Réalisé par: John Jaccard</t>
  </si>
  <si>
    <t>Classe: SI-MI4a</t>
  </si>
  <si>
    <t>PROJET: Pre-TPI</t>
  </si>
  <si>
    <t>Présentation du déroulement Pre-TPI</t>
  </si>
  <si>
    <t>Lecture et analyse du cahier des charges proposé</t>
  </si>
  <si>
    <t>Création planification initiale et installation applications nécessaire</t>
  </si>
  <si>
    <t>Test de l'environnement proposé par Mr. Ithurbide</t>
  </si>
  <si>
    <t xml:space="preserve">Test de l'environnement proposé par Mr. Ithurbide en créant une application et recherche de solution pour trouver une alternative au connecteur MySQL payant </t>
  </si>
  <si>
    <t>Nombres d'heures totales</t>
  </si>
  <si>
    <t>périodes par semaine</t>
  </si>
  <si>
    <t>Nombres d'heures/semaine</t>
  </si>
  <si>
    <t>Nombres de semaines</t>
  </si>
  <si>
    <t>Nombres d'heures effectuées</t>
  </si>
  <si>
    <t xml:space="preserve">Périodes théoriques faites </t>
  </si>
  <si>
    <t>Périodes négatives/trimestre</t>
  </si>
  <si>
    <t>Création du rapport de projet avec remplissage d'un max d'informations</t>
  </si>
  <si>
    <t>Beaucoup de problèmes avec l'environnement lors de mes tests, impossible d'accéder à une autre application que powerapp depuis le tenant cpnv.me, impossible d'accéder à l'application hors édition (j'ai surement une idée de la source du problème et ca ne devrait pas affecter le reste du projet)</t>
  </si>
  <si>
    <t>Tests nouveau environnement avec une application, un flow, une liste</t>
  </si>
  <si>
    <t>Finir de remplir les informations restantes pour le dossier de projet</t>
  </si>
  <si>
    <t>Créer le MCD de ma base de données en réfléchissant au bon fonctionnement de celle-ci</t>
  </si>
  <si>
    <t>Voué à évoluer</t>
  </si>
  <si>
    <t>Création des listes sharepoint et les remplir avec quelques valeurs de tests</t>
  </si>
  <si>
    <t>Application de test avec la possibilitée de créer un élève et de modifier ses infos</t>
  </si>
  <si>
    <t>Ajout de la possibilitée d'ajouter, modifier et supprimer élèves et classes avec des recherches plus poussées pour simplifier la recherche d'un élève</t>
  </si>
  <si>
    <t>Manuel d'utilisation de la partie précédente mise à jour, remplissage documentation</t>
  </si>
  <si>
    <t>Renommer tous les composants, refaire des derniers détails graphiques</t>
  </si>
  <si>
    <t>Installation et création avec Gantt Project de la planification initiale</t>
  </si>
  <si>
    <t>Révision et trie documentation</t>
  </si>
  <si>
    <t>Création table des enseignants, création de l'écran de managment de ceux-ci</t>
  </si>
  <si>
    <t>Modification dans la documentation du nouveau schéma (MCD), précisions sur certains termes dans l'introduction et les choix faits</t>
  </si>
  <si>
    <t>Ajout des cours de ma formation, depuis GIFI pour avoir des data</t>
  </si>
  <si>
    <t>Ajout des salle de classes de ma formation, depuis intranet</t>
  </si>
  <si>
    <t>Modifcation de ma table pour accueillir des cours par jour</t>
  </si>
  <si>
    <t>Création de l'écran powerapps, ajout d'un formulaire, modification des entry pour que je puisse utiliser le nom de la table externe au lieu de l'ID de ma table de lien</t>
  </si>
  <si>
    <t>Formule de calcul de date de fin et de début avec une dropdown pour définir les heures et une pour les minutes, les heures de fin sont calculées en fonction des périodes entrées</t>
  </si>
  <si>
    <t>Modification des formats de ma table, essai pour trouver une facon d'inclure les pause dans mon système mais rien trouvé pour le moment</t>
  </si>
  <si>
    <t>Ajustement de la mise en page del'application pour la partie du planning</t>
  </si>
  <si>
    <t>Modification de ma liste Sharepoint pour y inclure les périodes</t>
  </si>
  <si>
    <t>Modification de l'application pour la partie planning, me permettant ainsi de filtrer, ajouter de nouveau cours, modifier des élèments de ceux-ci.</t>
  </si>
  <si>
    <t>Modification documentation sur nouvelles fonctionnalitées</t>
  </si>
  <si>
    <t>Renommage des composants de mon nouvel écran</t>
  </si>
  <si>
    <t>Début de la création de l'écran de gestion des absences, ainsi que création de la liste Sharepoint correspondante</t>
  </si>
  <si>
    <t>Problèmes actuel: un cours existe pour toute les semaines et il est impossible de mettre un élève absent, le seul moyen serait de soit: changer la facon de stocket les cours, soit  ajouter la date aux absences, il me faudra quand meme ajouter la notion de trimestre au minimum pour les cours</t>
  </si>
  <si>
    <t>Impossible de créer 9 périodes par jour, cela rendrait la liste beaucoup trop lente avec un grand volume de données</t>
  </si>
  <si>
    <t>Modification de base de données afin de mettre en place la solution choisie: rajouter les années et trimestre pour les périodes, rajouter la date et l'heure pour les absences</t>
  </si>
  <si>
    <t>Modification de l'écran de gestion du planning en conséquences</t>
  </si>
  <si>
    <t>Ajout de l'écran pour les présences avec les présences</t>
  </si>
  <si>
    <t>Analyse des critères d'évaluation du TPI</t>
  </si>
  <si>
    <t>Discussion avec Mr. Ithurbide et rédaction des questions en conséquence</t>
  </si>
  <si>
    <t>Travail sur le système d'absences avec affichage et tests</t>
  </si>
  <si>
    <t>galère sur les absences</t>
  </si>
  <si>
    <t>Faire Gannt projet pour la planification (différences avec planification initiale)</t>
  </si>
  <si>
    <t xml:space="preserve">Test de fonctionnement des PDF/Word avec Powerautomate =&gt; sans licence: impossible de remplir un document automatiquement, impossible de créer un devoir (c.à.d pouvoir envoyer un fichier via teams et permettre de joindre un autre fichier et de signer ensuite) </t>
  </si>
  <si>
    <t>2ème flow lié à forms qui renvoit le document envoyé par mail au secrétariat</t>
  </si>
  <si>
    <t>Discussion avec Mr. Ithurbide  à propos du projet ainsi que ce qu'il me faut refaire dans ma documentation</t>
  </si>
  <si>
    <t>Refonte ERP, mise à jour des nouvelles fonctionnalitées dans la documentation, stratégie de test et description des tests et ajout du cahier des charges</t>
  </si>
  <si>
    <t>Mise en place de petites modifications discutées pendant discussion (par ex. nombre d'élèves dans une classe)</t>
  </si>
  <si>
    <t>Ajout système de droits avec des accès différents selon les objets</t>
  </si>
  <si>
    <t>MaJ planning pour que les élèves ait un autre visuel, possibilité de voir les enseignants uniquement en tant qu'enseignant</t>
  </si>
  <si>
    <t>Refléxion sur le système de notes, comment va-t-il etre mis en place et quel serait le meilleur systèmes</t>
  </si>
  <si>
    <t>Réalisation notes dans ERP et MaJ de celui-ci</t>
  </si>
  <si>
    <t>Remplissage documentation</t>
  </si>
  <si>
    <t>Ajout de la vue des absences sur la page des élèves, celle-ci se trient par justification ou non et par date, un élève ne peux voir que les siennes et les enseignants peuvent tout voir</t>
  </si>
  <si>
    <t>Ajout de "default" un peu partout, l'utilisateur qui a un profil arrivera directement sur sa page, idem pour le planning il tombera dessus instantanément</t>
  </si>
  <si>
    <t>Ajout de voir le cours actuel selon l'heure, l'année et le trimestre, permet de connaître le cours actuel rapidement, de plus ajout du fait que l'année et le trimestre soient préselectionné sur l'instant présent</t>
  </si>
  <si>
    <t>Ajout d'aides visuelles comme le fond qui se met en couleur quand une absence est imjustifiée ou encore dans l'écran d'absence, quand une personne est déjà mise en retard/absent, le fond devient orange</t>
  </si>
  <si>
    <t>Ajout bouton pour masquer le panel, modification de la vue pour élargir le planning dans ce cas</t>
  </si>
  <si>
    <t>Création table notes</t>
  </si>
  <si>
    <t>Écran de notes, réalisation des gallery et insertion dans la table, début mise en place protection toute les notes doivent être remplies</t>
  </si>
  <si>
    <t>Écran modification des notes</t>
  </si>
  <si>
    <t>Écran modification des notes fin</t>
  </si>
  <si>
    <t>Ajout des notes visibles dans la page des élèves avec des moyennes, avec ajout de bouton pour les afficher et masquer</t>
  </si>
  <si>
    <t>Ajout des éléments précédemment réalisés précédemment dans la documentation.</t>
  </si>
  <si>
    <t>Création rapport PowerBI de zéro avec insertion des tables, transformations des données et création des visuels nécessaires.</t>
  </si>
  <si>
    <t>Matrice de tests</t>
  </si>
  <si>
    <t>Documentation, restructuration et rajout</t>
  </si>
  <si>
    <t>Ajout utilisateurs Administrateurs</t>
  </si>
  <si>
    <t>Renommage de composants</t>
  </si>
  <si>
    <t>fix de l'écran du planning avec le filtre de l'enseignant actuel</t>
  </si>
  <si>
    <t>Glossaire, légendes et autres ajouts/modifications</t>
  </si>
  <si>
    <t>Analyse du fonctionnement actuel de l'app, quelques problèmes de synchronisation quand à l'ajout et suppression sont présents</t>
  </si>
  <si>
    <t>régler quelques problèmes de synchronisation quand à l'ajout et suppression qui sont présents</t>
  </si>
  <si>
    <t>Prépa TPI (période remplacée)</t>
  </si>
  <si>
    <t>Discussion avec Mr. Ithurbide à propos de ce qu'il faudrait améliorer sur mon projet</t>
  </si>
  <si>
    <t>Déplacer les images, enlever certaines inutiles, refaire les format de texte.</t>
  </si>
  <si>
    <t xml:space="preserve">Refontes, stratégie de tests, tests, matrice de tests, dossier de réalisation, puces problèmatiques qui apparaissaient dans une autre police, </t>
  </si>
  <si>
    <t>Mots du glossaires et légendes des images</t>
  </si>
  <si>
    <t>Rédaction des tests</t>
  </si>
  <si>
    <t>Resizing des images et finir les tests et légendes</t>
  </si>
  <si>
    <t>Finir le glossaire</t>
  </si>
  <si>
    <t>Résumé du TPI/version succinte</t>
  </si>
  <si>
    <t>Conclusion</t>
  </si>
  <si>
    <t>Tests sur le projet et remplir la matrice + régler les problèmes</t>
  </si>
  <si>
    <t>Rajout de la matrice des tests, régler tous les problèmes de la page en paysage</t>
  </si>
  <si>
    <t>Retravaille de la conclusion et erreurs restantes</t>
  </si>
  <si>
    <t>Fix une erreur de validation des enseignants</t>
  </si>
  <si>
    <t>Réalisation de la présentation avecune démonstration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</si>
</sst>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0" tint="-0.14999847407452621"/>
        <bgColor indexed="64"/>
      </patternFill>
    </fill>
  </fills>
  <borders count="14">
    <border>
      <left/>
      <right/>
      <top/>
      <bottom/>
      <diagonal/>
    </border>
    <border>
      <left style="thin">
        <color auto="1"/>
      </left>
      <right style="thin">
        <color auto="1"/>
      </right>
      <top style="thin">
        <color auto="1"/>
      </top>
      <bottom style="thin">
        <color auto="1"/>
      </bottom>
      <diagonal/>
    </border>
    <border>
      <left style="thin">
        <color indexed="64"/>
      </left>
      <right style="thin">
        <color indexed="64"/>
      </right>
      <top/>
      <bottom style="thin">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pivotButton="1"/>
    <xf numFmtId="16" fontId="0" fillId="0" borderId="0" xfId="0" applyNumberFormat="1" applyAlignment="1">
      <alignment horizontal="left"/>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4" fillId="0" borderId="0" xfId="0" applyFont="1"/>
    <xf numFmtId="0" fontId="4" fillId="0" borderId="0" xfId="0" applyFont="1" applyAlignment="1">
      <alignment horizontal="left"/>
    </xf>
    <xf numFmtId="0" fontId="6" fillId="0" borderId="0" xfId="0" applyFont="1"/>
    <xf numFmtId="2" fontId="0" fillId="0" borderId="0" xfId="0" applyNumberFormat="1"/>
    <xf numFmtId="0" fontId="6" fillId="0" borderId="5" xfId="0" applyFont="1" applyBorder="1" applyAlignment="1">
      <alignment horizontal="center" vertical="center"/>
    </xf>
    <xf numFmtId="0" fontId="0" fillId="0" borderId="7" xfId="0" applyBorder="1" applyAlignment="1">
      <alignment horizontal="center" vertical="center"/>
    </xf>
    <xf numFmtId="0" fontId="6" fillId="0" borderId="7" xfId="0" applyFont="1" applyBorder="1" applyAlignment="1">
      <alignment horizontal="center" vertical="center"/>
    </xf>
    <xf numFmtId="2" fontId="0" fillId="0" borderId="10" xfId="0" applyNumberFormat="1" applyBorder="1" applyAlignment="1">
      <alignment horizontal="center" vertical="center"/>
    </xf>
    <xf numFmtId="0" fontId="7" fillId="0" borderId="0" xfId="1"/>
    <xf numFmtId="2" fontId="0" fillId="0" borderId="0" xfId="0" applyNumberFormat="1" applyProtection="1">
      <protection locked="0"/>
    </xf>
    <xf numFmtId="2" fontId="0" fillId="0" borderId="0" xfId="0" applyNumberFormat="1" applyAlignment="1" applyProtection="1">
      <alignment horizontal="left" vertical="center" wrapText="1"/>
      <protection locked="0"/>
    </xf>
    <xf numFmtId="16" fontId="0" fillId="0" borderId="2" xfId="0" applyNumberFormat="1" applyBorder="1" applyAlignment="1" applyProtection="1">
      <alignment horizontal="center" vertical="center"/>
      <protection locked="0"/>
    </xf>
    <xf numFmtId="1" fontId="0" fillId="0" borderId="2" xfId="0" applyNumberFormat="1" applyBorder="1" applyAlignment="1">
      <alignment horizontal="center" vertical="center"/>
    </xf>
    <xf numFmtId="2" fontId="0" fillId="0" borderId="2"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2" xfId="0" applyBorder="1" applyAlignment="1" applyProtection="1">
      <alignment horizontal="left" vertical="center" wrapText="1"/>
      <protection locked="0"/>
    </xf>
    <xf numFmtId="0" fontId="1" fillId="2" borderId="11" xfId="0" applyFont="1" applyFill="1" applyBorder="1" applyAlignment="1" applyProtection="1">
      <alignment horizontal="center" vertical="center"/>
      <protection locked="0"/>
    </xf>
    <xf numFmtId="1" fontId="1" fillId="2" borderId="12" xfId="0" applyNumberFormat="1" applyFont="1" applyFill="1" applyBorder="1" applyAlignment="1">
      <alignment horizontal="center" vertical="center"/>
    </xf>
    <xf numFmtId="2" fontId="1" fillId="2" borderId="12" xfId="0" applyNumberFormat="1" applyFont="1" applyFill="1" applyBorder="1" applyAlignment="1" applyProtection="1">
      <alignment horizontal="center" vertical="center"/>
      <protection locked="0"/>
    </xf>
    <xf numFmtId="0" fontId="1" fillId="2" borderId="12" xfId="0" applyFont="1" applyFill="1" applyBorder="1" applyAlignment="1" applyProtection="1">
      <alignment horizontal="center" vertical="center"/>
      <protection locked="0"/>
    </xf>
    <xf numFmtId="0" fontId="1" fillId="2" borderId="12"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3" fillId="0" borderId="0" xfId="0" applyFont="1" applyAlignment="1">
      <alignment horizontal="center"/>
    </xf>
    <xf numFmtId="0" fontId="6" fillId="0" borderId="1" xfId="0" applyFont="1" applyBorder="1" applyAlignment="1">
      <alignment horizontal="center" vertical="center"/>
    </xf>
    <xf numFmtId="0" fontId="6" fillId="0" borderId="7" xfId="0" applyFon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6" fillId="0" borderId="3" xfId="0" applyFont="1" applyBorder="1" applyAlignment="1">
      <alignment horizontal="center" vertical="center" wrapText="1"/>
    </xf>
    <xf numFmtId="0" fontId="6" fillId="0" borderId="6" xfId="0" applyFont="1" applyBorder="1" applyAlignment="1">
      <alignment horizontal="center" vertical="center" wrapText="1"/>
    </xf>
    <xf numFmtId="0" fontId="6" fillId="0" borderId="6" xfId="0" applyFont="1" applyBorder="1" applyAlignment="1">
      <alignment horizontal="center" vertical="center"/>
    </xf>
    <xf numFmtId="0" fontId="6" fillId="0" borderId="8" xfId="0" applyFont="1" applyBorder="1" applyAlignment="1">
      <alignment horizontal="center" vertical="center"/>
    </xf>
    <xf numFmtId="0" fontId="6" fillId="0" borderId="3" xfId="0" applyFont="1" applyBorder="1" applyAlignment="1">
      <alignment horizontal="center" vertical="center"/>
    </xf>
    <xf numFmtId="0" fontId="6" fillId="0" borderId="4" xfId="0" applyFont="1" applyBorder="1" applyAlignment="1">
      <alignment horizontal="center" vertical="center"/>
    </xf>
    <xf numFmtId="0" fontId="0" fillId="0" borderId="6" xfId="0" applyBorder="1" applyAlignment="1">
      <alignment horizontal="center" vertical="center"/>
    </xf>
    <xf numFmtId="0" fontId="0" fillId="0" borderId="1" xfId="0" applyBorder="1" applyAlignment="1">
      <alignment horizontal="center" vertical="center"/>
    </xf>
    <xf numFmtId="0" fontId="0" fillId="0" borderId="8" xfId="0" applyBorder="1" applyAlignment="1">
      <alignment horizontal="center" vertical="center"/>
    </xf>
    <xf numFmtId="0" fontId="6" fillId="0" borderId="5" xfId="0" applyFont="1" applyBorder="1" applyAlignment="1">
      <alignment horizontal="center" vertical="center"/>
    </xf>
    <xf numFmtId="0" fontId="0" fillId="0" borderId="7" xfId="0" applyBorder="1" applyAlignment="1">
      <alignment horizontal="center" vertical="center"/>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3187.592159490741" createdVersion="4" refreshedVersion="4" minRefreshableVersion="3" recordCount="1" xr:uid="{00000000-000A-0000-FFFF-FFFF00000000}">
  <cacheSource type="worksheet">
    <worksheetSource ref="A6:D98" sheet="Journal"/>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K150"/>
  <sheetViews>
    <sheetView zoomScale="70" zoomScaleNormal="70" workbookViewId="0">
      <selection activeCell="O9" sqref="O9"/>
    </sheetView>
  </sheetViews>
  <sheetFormatPr baseColWidth="10" defaultColWidth="9.140625" defaultRowHeight="15" x14ac:dyDescent="0.25"/>
  <cols>
    <col min="1" max="1" width="10.140625" style="6" bestFit="1" customWidth="1"/>
    <col min="2" max="2" width="8.85546875" style="15" customWidth="1"/>
    <col min="3" max="3" width="9.28515625" style="12" bestFit="1" customWidth="1"/>
    <col min="4" max="4" width="16" style="6" customWidth="1"/>
    <col min="5" max="5" width="74.85546875" style="13" customWidth="1"/>
    <col min="6" max="6" width="45.140625" style="13" customWidth="1"/>
    <col min="7" max="16384" width="9.140625" style="7"/>
  </cols>
  <sheetData>
    <row r="1" spans="1:11" s="16" customFormat="1" ht="14.1" customHeight="1" x14ac:dyDescent="0.2">
      <c r="A1" s="38" t="s">
        <v>18</v>
      </c>
      <c r="B1" s="38"/>
      <c r="C1" s="38"/>
      <c r="D1" s="38"/>
      <c r="E1" s="38"/>
      <c r="F1" s="38"/>
    </row>
    <row r="2" spans="1:11" s="16" customFormat="1" ht="14.25" x14ac:dyDescent="0.2">
      <c r="A2" s="38"/>
      <c r="B2" s="38"/>
      <c r="C2" s="38"/>
      <c r="D2" s="38"/>
      <c r="E2" s="38"/>
      <c r="F2" s="38"/>
    </row>
    <row r="3" spans="1:11" s="16" customFormat="1" ht="24.95" customHeight="1" x14ac:dyDescent="0.2">
      <c r="E3" s="16" t="s">
        <v>16</v>
      </c>
      <c r="F3" s="17" t="s">
        <v>17</v>
      </c>
    </row>
    <row r="4" spans="1:11" x14ac:dyDescent="0.25">
      <c r="D4" s="13"/>
    </row>
    <row r="5" spans="1:11" ht="15.75" thickBot="1" x14ac:dyDescent="0.3">
      <c r="D5" s="26"/>
    </row>
    <row r="6" spans="1:11" ht="24" customHeight="1" thickBot="1" x14ac:dyDescent="0.3">
      <c r="A6" s="32" t="s">
        <v>1</v>
      </c>
      <c r="B6" s="33" t="s">
        <v>11</v>
      </c>
      <c r="C6" s="34" t="s">
        <v>2</v>
      </c>
      <c r="D6" s="35" t="s">
        <v>3</v>
      </c>
      <c r="E6" s="36" t="s">
        <v>0</v>
      </c>
      <c r="F6" s="37" t="s">
        <v>13</v>
      </c>
      <c r="I6" s="11"/>
    </row>
    <row r="7" spans="1:11" x14ac:dyDescent="0.25">
      <c r="A7" s="27">
        <v>46107</v>
      </c>
      <c r="B7" s="28">
        <v>7</v>
      </c>
      <c r="C7" s="29">
        <v>3</v>
      </c>
      <c r="D7" s="30" t="s">
        <v>8</v>
      </c>
      <c r="E7" s="31" t="s">
        <v>112</v>
      </c>
      <c r="F7" s="31"/>
      <c r="I7" s="25"/>
      <c r="K7" s="25"/>
    </row>
    <row r="8" spans="1:11" x14ac:dyDescent="0.25">
      <c r="A8" s="27">
        <v>46107</v>
      </c>
      <c r="B8" s="28">
        <v>7</v>
      </c>
      <c r="C8" s="29">
        <v>1.5</v>
      </c>
      <c r="D8" s="30" t="s">
        <v>8</v>
      </c>
      <c r="E8" s="31" t="s">
        <v>110</v>
      </c>
      <c r="F8" s="31"/>
      <c r="I8" s="25"/>
      <c r="K8" s="25"/>
    </row>
    <row r="9" spans="1:11" x14ac:dyDescent="0.25">
      <c r="A9" s="27">
        <v>46105</v>
      </c>
      <c r="B9" s="28">
        <v>7</v>
      </c>
      <c r="C9" s="29">
        <v>0.75</v>
      </c>
      <c r="D9" s="30" t="s">
        <v>8</v>
      </c>
      <c r="E9" s="31" t="s">
        <v>109</v>
      </c>
      <c r="F9" s="31"/>
      <c r="I9" s="25"/>
      <c r="K9" s="25"/>
    </row>
    <row r="10" spans="1:11" x14ac:dyDescent="0.25">
      <c r="A10" s="27">
        <v>46104</v>
      </c>
      <c r="B10" s="28">
        <v>7</v>
      </c>
      <c r="C10" s="29">
        <v>0.75</v>
      </c>
      <c r="D10" s="30" t="s">
        <v>8</v>
      </c>
      <c r="E10" s="31" t="s">
        <v>108</v>
      </c>
      <c r="F10" s="31"/>
      <c r="I10" s="25"/>
      <c r="K10" s="25"/>
    </row>
    <row r="11" spans="1:11" x14ac:dyDescent="0.25">
      <c r="A11" s="27">
        <v>46104</v>
      </c>
      <c r="B11" s="28">
        <v>7</v>
      </c>
      <c r="C11" s="29">
        <v>0.75</v>
      </c>
      <c r="D11" s="30" t="s">
        <v>6</v>
      </c>
      <c r="E11" s="31" t="s">
        <v>111</v>
      </c>
      <c r="F11" s="31"/>
      <c r="I11" s="25"/>
      <c r="K11" s="25"/>
    </row>
    <row r="12" spans="1:11" x14ac:dyDescent="0.25">
      <c r="A12" s="27">
        <v>46104</v>
      </c>
      <c r="B12" s="28">
        <v>7</v>
      </c>
      <c r="C12" s="29">
        <v>1</v>
      </c>
      <c r="D12" s="30" t="s">
        <v>8</v>
      </c>
      <c r="E12" s="31" t="s">
        <v>107</v>
      </c>
      <c r="F12" s="31"/>
      <c r="I12" s="25"/>
      <c r="K12" s="25"/>
    </row>
    <row r="13" spans="1:11" x14ac:dyDescent="0.25">
      <c r="A13" s="27">
        <v>46104</v>
      </c>
      <c r="B13" s="28">
        <v>7</v>
      </c>
      <c r="C13" s="29">
        <v>0.75</v>
      </c>
      <c r="D13" s="30" t="s">
        <v>8</v>
      </c>
      <c r="E13" s="31" t="s">
        <v>106</v>
      </c>
      <c r="F13" s="31"/>
      <c r="I13" s="25"/>
      <c r="K13" s="25"/>
    </row>
    <row r="14" spans="1:11" x14ac:dyDescent="0.25">
      <c r="A14" s="27">
        <v>46104</v>
      </c>
      <c r="B14" s="28">
        <v>7</v>
      </c>
      <c r="C14" s="29">
        <v>0.5</v>
      </c>
      <c r="D14" s="30" t="s">
        <v>8</v>
      </c>
      <c r="E14" s="31" t="s">
        <v>105</v>
      </c>
      <c r="F14" s="31"/>
      <c r="I14" s="25"/>
      <c r="K14" s="25"/>
    </row>
    <row r="15" spans="1:11" x14ac:dyDescent="0.25">
      <c r="A15" s="27">
        <v>46101</v>
      </c>
      <c r="B15" s="28">
        <v>6</v>
      </c>
      <c r="C15" s="29">
        <v>0.75</v>
      </c>
      <c r="D15" s="30" t="s">
        <v>8</v>
      </c>
      <c r="E15" s="31" t="s">
        <v>104</v>
      </c>
      <c r="F15" s="31"/>
      <c r="I15" s="25"/>
      <c r="K15" s="25"/>
    </row>
    <row r="16" spans="1:11" x14ac:dyDescent="0.25">
      <c r="A16" s="27">
        <v>46101</v>
      </c>
      <c r="B16" s="28">
        <v>6</v>
      </c>
      <c r="C16" s="29">
        <v>1.5</v>
      </c>
      <c r="D16" s="30" t="s">
        <v>8</v>
      </c>
      <c r="E16" s="31" t="s">
        <v>103</v>
      </c>
      <c r="F16" s="31"/>
      <c r="K16" s="25"/>
    </row>
    <row r="17" spans="1:11" x14ac:dyDescent="0.25">
      <c r="A17" s="27">
        <v>46100</v>
      </c>
      <c r="B17" s="28">
        <v>6</v>
      </c>
      <c r="C17" s="29">
        <v>0.75</v>
      </c>
      <c r="D17" s="30" t="s">
        <v>8</v>
      </c>
      <c r="E17" s="31" t="s">
        <v>102</v>
      </c>
      <c r="F17" s="31"/>
      <c r="I17" s="25"/>
      <c r="K17" s="25"/>
    </row>
    <row r="18" spans="1:11" ht="30" x14ac:dyDescent="0.25">
      <c r="A18" s="27">
        <v>46100</v>
      </c>
      <c r="B18" s="28">
        <v>6</v>
      </c>
      <c r="C18" s="29">
        <v>2.25</v>
      </c>
      <c r="D18" s="30" t="s">
        <v>8</v>
      </c>
      <c r="E18" s="31" t="s">
        <v>101</v>
      </c>
      <c r="F18" s="31"/>
      <c r="I18" s="25"/>
      <c r="K18" s="25"/>
    </row>
    <row r="19" spans="1:11" x14ac:dyDescent="0.25">
      <c r="A19" s="27">
        <v>46100</v>
      </c>
      <c r="B19" s="28">
        <v>6</v>
      </c>
      <c r="C19" s="29">
        <v>0.75</v>
      </c>
      <c r="D19" s="30" t="s">
        <v>8</v>
      </c>
      <c r="E19" s="31" t="s">
        <v>100</v>
      </c>
      <c r="F19" s="31"/>
      <c r="I19" s="25"/>
      <c r="K19" s="25"/>
    </row>
    <row r="20" spans="1:11" ht="30" x14ac:dyDescent="0.25">
      <c r="A20" s="27">
        <v>46100</v>
      </c>
      <c r="B20" s="28">
        <v>6</v>
      </c>
      <c r="C20" s="29">
        <v>0.75</v>
      </c>
      <c r="D20" s="30" t="s">
        <v>15</v>
      </c>
      <c r="E20" s="31" t="s">
        <v>99</v>
      </c>
      <c r="F20" s="31"/>
      <c r="I20" s="25"/>
      <c r="K20" s="25"/>
    </row>
    <row r="21" spans="1:11" ht="30" x14ac:dyDescent="0.25">
      <c r="A21" s="27">
        <v>46098</v>
      </c>
      <c r="B21" s="28">
        <v>6</v>
      </c>
      <c r="C21" s="29">
        <v>0.75</v>
      </c>
      <c r="D21" s="30" t="s">
        <v>6</v>
      </c>
      <c r="E21" s="31" t="s">
        <v>97</v>
      </c>
      <c r="F21" s="31"/>
      <c r="I21" s="25"/>
      <c r="K21" s="25"/>
    </row>
    <row r="22" spans="1:11" x14ac:dyDescent="0.25">
      <c r="A22" s="27">
        <v>46097</v>
      </c>
      <c r="B22" s="28">
        <v>6</v>
      </c>
      <c r="C22" s="29">
        <v>0.75</v>
      </c>
      <c r="D22" s="30" t="s">
        <v>9</v>
      </c>
      <c r="E22" s="31" t="s">
        <v>98</v>
      </c>
      <c r="F22" s="31"/>
      <c r="K22" s="25"/>
    </row>
    <row r="23" spans="1:11" ht="30" x14ac:dyDescent="0.25">
      <c r="A23" s="27">
        <v>46097</v>
      </c>
      <c r="B23" s="28">
        <v>6</v>
      </c>
      <c r="C23" s="29">
        <v>0.3</v>
      </c>
      <c r="D23" s="30" t="s">
        <v>5</v>
      </c>
      <c r="E23" s="31" t="s">
        <v>96</v>
      </c>
      <c r="F23" s="31"/>
      <c r="I23" s="25"/>
      <c r="J23" s="25"/>
      <c r="K23" s="25"/>
    </row>
    <row r="24" spans="1:11" x14ac:dyDescent="0.25">
      <c r="A24" s="27">
        <v>46097</v>
      </c>
      <c r="B24" s="28">
        <v>6</v>
      </c>
      <c r="C24" s="29">
        <v>1.2</v>
      </c>
      <c r="D24" s="30" t="s">
        <v>8</v>
      </c>
      <c r="E24" s="31" t="s">
        <v>95</v>
      </c>
      <c r="F24" s="31"/>
      <c r="K24" s="25"/>
    </row>
    <row r="25" spans="1:11" x14ac:dyDescent="0.25">
      <c r="A25" s="27">
        <v>46097</v>
      </c>
      <c r="B25" s="28">
        <v>6</v>
      </c>
      <c r="C25" s="29">
        <v>0.75</v>
      </c>
      <c r="D25" s="30" t="s">
        <v>6</v>
      </c>
      <c r="E25" s="31" t="s">
        <v>94</v>
      </c>
      <c r="F25" s="31"/>
      <c r="J25" s="25"/>
      <c r="K25" s="25"/>
    </row>
    <row r="26" spans="1:11" x14ac:dyDescent="0.25">
      <c r="A26" s="27">
        <v>46097</v>
      </c>
      <c r="B26" s="28">
        <v>6</v>
      </c>
      <c r="C26" s="29">
        <v>0.75</v>
      </c>
      <c r="D26" s="30" t="s">
        <v>6</v>
      </c>
      <c r="E26" s="31" t="s">
        <v>93</v>
      </c>
      <c r="F26" s="31"/>
    </row>
    <row r="27" spans="1:11" x14ac:dyDescent="0.25">
      <c r="A27" s="27">
        <v>46094</v>
      </c>
      <c r="B27" s="28">
        <v>5</v>
      </c>
      <c r="C27" s="29">
        <v>0.75</v>
      </c>
      <c r="D27" s="30" t="s">
        <v>6</v>
      </c>
      <c r="E27" s="31" t="s">
        <v>92</v>
      </c>
      <c r="F27" s="31"/>
      <c r="I27" s="11"/>
    </row>
    <row r="28" spans="1:11" x14ac:dyDescent="0.25">
      <c r="A28" s="27">
        <v>46094</v>
      </c>
      <c r="B28" s="28">
        <v>5</v>
      </c>
      <c r="C28" s="29">
        <v>1.5</v>
      </c>
      <c r="D28" s="30" t="s">
        <v>8</v>
      </c>
      <c r="E28" s="31" t="s">
        <v>91</v>
      </c>
      <c r="F28" s="31"/>
      <c r="I28" s="11"/>
    </row>
    <row r="29" spans="1:11" x14ac:dyDescent="0.25">
      <c r="A29" s="27">
        <v>46093</v>
      </c>
      <c r="B29" s="28">
        <v>5</v>
      </c>
      <c r="C29" s="29">
        <v>1.5</v>
      </c>
      <c r="D29" s="30" t="s">
        <v>8</v>
      </c>
      <c r="E29" s="31" t="s">
        <v>90</v>
      </c>
      <c r="F29" s="31"/>
      <c r="I29" s="11"/>
    </row>
    <row r="30" spans="1:11" ht="30" x14ac:dyDescent="0.25">
      <c r="A30" s="27">
        <v>46093</v>
      </c>
      <c r="B30" s="28">
        <v>5</v>
      </c>
      <c r="C30" s="29">
        <v>3</v>
      </c>
      <c r="D30" s="30" t="s">
        <v>6</v>
      </c>
      <c r="E30" s="31" t="s">
        <v>89</v>
      </c>
      <c r="F30" s="31"/>
      <c r="I30" s="11"/>
    </row>
    <row r="31" spans="1:11" x14ac:dyDescent="0.25">
      <c r="A31" s="27">
        <v>46091</v>
      </c>
      <c r="B31" s="28">
        <v>5</v>
      </c>
      <c r="C31" s="29">
        <v>0.75</v>
      </c>
      <c r="D31" s="30" t="s">
        <v>8</v>
      </c>
      <c r="E31" s="31" t="s">
        <v>77</v>
      </c>
      <c r="F31" s="31"/>
      <c r="I31" s="11"/>
    </row>
    <row r="32" spans="1:11" ht="30" x14ac:dyDescent="0.25">
      <c r="A32" s="27">
        <v>46090</v>
      </c>
      <c r="B32" s="28">
        <v>5</v>
      </c>
      <c r="C32" s="29">
        <v>0.75</v>
      </c>
      <c r="D32" s="30" t="s">
        <v>6</v>
      </c>
      <c r="E32" s="31" t="s">
        <v>88</v>
      </c>
      <c r="F32" s="31"/>
      <c r="I32" s="11"/>
    </row>
    <row r="33" spans="1:9" ht="30" x14ac:dyDescent="0.25">
      <c r="A33" s="27">
        <v>46090</v>
      </c>
      <c r="B33" s="28">
        <v>5</v>
      </c>
      <c r="C33" s="29">
        <v>1.5</v>
      </c>
      <c r="D33" s="30" t="s">
        <v>6</v>
      </c>
      <c r="E33" s="31" t="s">
        <v>87</v>
      </c>
      <c r="F33" s="31"/>
      <c r="I33" s="11"/>
    </row>
    <row r="34" spans="1:9" x14ac:dyDescent="0.25">
      <c r="A34" s="27">
        <v>46090</v>
      </c>
      <c r="B34" s="28">
        <v>5</v>
      </c>
      <c r="C34" s="29">
        <v>1.5</v>
      </c>
      <c r="D34" s="30" t="s">
        <v>6</v>
      </c>
      <c r="E34" s="31" t="s">
        <v>86</v>
      </c>
      <c r="F34" s="31"/>
      <c r="I34" s="11"/>
    </row>
    <row r="35" spans="1:9" x14ac:dyDescent="0.25">
      <c r="A35" s="27">
        <v>46087</v>
      </c>
      <c r="B35" s="28">
        <v>4</v>
      </c>
      <c r="C35" s="29">
        <v>0.75</v>
      </c>
      <c r="D35" s="30" t="s">
        <v>6</v>
      </c>
      <c r="E35" s="31" t="s">
        <v>85</v>
      </c>
      <c r="F35" s="31"/>
      <c r="I35" s="11"/>
    </row>
    <row r="36" spans="1:9" ht="30" x14ac:dyDescent="0.25">
      <c r="A36" s="27">
        <v>46087</v>
      </c>
      <c r="B36" s="28">
        <v>4</v>
      </c>
      <c r="C36" s="29">
        <v>0.75</v>
      </c>
      <c r="D36" s="30" t="s">
        <v>6</v>
      </c>
      <c r="E36" s="31" t="s">
        <v>84</v>
      </c>
      <c r="F36" s="31"/>
      <c r="I36" s="11"/>
    </row>
    <row r="37" spans="1:9" x14ac:dyDescent="0.25">
      <c r="A37" s="27">
        <v>46087</v>
      </c>
      <c r="B37" s="28">
        <v>4</v>
      </c>
      <c r="C37" s="29">
        <v>0.25</v>
      </c>
      <c r="D37" s="30" t="s">
        <v>6</v>
      </c>
      <c r="E37" s="31" t="s">
        <v>83</v>
      </c>
      <c r="F37" s="31"/>
      <c r="I37" s="11"/>
    </row>
    <row r="38" spans="1:9" ht="30" x14ac:dyDescent="0.25">
      <c r="A38" s="27">
        <v>46087</v>
      </c>
      <c r="B38" s="28">
        <v>4</v>
      </c>
      <c r="C38" s="29">
        <v>0.5</v>
      </c>
      <c r="D38" s="30" t="s">
        <v>6</v>
      </c>
      <c r="E38" s="31" t="s">
        <v>82</v>
      </c>
      <c r="F38" s="31"/>
      <c r="I38" s="11"/>
    </row>
    <row r="39" spans="1:9" ht="45" x14ac:dyDescent="0.25">
      <c r="A39" s="27">
        <v>46086</v>
      </c>
      <c r="B39" s="28">
        <v>4</v>
      </c>
      <c r="C39" s="29">
        <v>0.75</v>
      </c>
      <c r="D39" s="30" t="s">
        <v>6</v>
      </c>
      <c r="E39" s="31" t="s">
        <v>81</v>
      </c>
      <c r="F39" s="31"/>
      <c r="I39" s="11"/>
    </row>
    <row r="40" spans="1:9" ht="45" x14ac:dyDescent="0.25">
      <c r="A40" s="27">
        <v>46086</v>
      </c>
      <c r="B40" s="28">
        <v>4</v>
      </c>
      <c r="C40" s="29">
        <v>1.75</v>
      </c>
      <c r="D40" s="30" t="s">
        <v>6</v>
      </c>
      <c r="E40" s="31" t="s">
        <v>80</v>
      </c>
      <c r="F40" s="31"/>
      <c r="I40" s="11"/>
    </row>
    <row r="41" spans="1:9" ht="30" x14ac:dyDescent="0.25">
      <c r="A41" s="27">
        <v>46086</v>
      </c>
      <c r="B41" s="28">
        <v>4</v>
      </c>
      <c r="C41" s="29">
        <v>0.5</v>
      </c>
      <c r="D41" s="30" t="s">
        <v>6</v>
      </c>
      <c r="E41" s="31" t="s">
        <v>79</v>
      </c>
      <c r="F41" s="31"/>
      <c r="I41" s="11"/>
    </row>
    <row r="42" spans="1:9" ht="45" x14ac:dyDescent="0.25">
      <c r="A42" s="27">
        <v>46086</v>
      </c>
      <c r="B42" s="28">
        <v>4</v>
      </c>
      <c r="C42" s="29">
        <v>1.5</v>
      </c>
      <c r="D42" s="30" t="s">
        <v>6</v>
      </c>
      <c r="E42" s="31" t="s">
        <v>78</v>
      </c>
      <c r="F42" s="31"/>
      <c r="I42" s="11"/>
    </row>
    <row r="43" spans="1:9" x14ac:dyDescent="0.25">
      <c r="A43" s="27">
        <v>46084</v>
      </c>
      <c r="B43" s="28">
        <v>4</v>
      </c>
      <c r="C43" s="29">
        <v>0.75</v>
      </c>
      <c r="D43" s="30" t="s">
        <v>8</v>
      </c>
      <c r="E43" s="31" t="s">
        <v>77</v>
      </c>
      <c r="F43" s="31"/>
      <c r="I43" s="11"/>
    </row>
    <row r="44" spans="1:9" x14ac:dyDescent="0.25">
      <c r="A44" s="27">
        <v>46083</v>
      </c>
      <c r="B44" s="28">
        <v>4</v>
      </c>
      <c r="C44" s="29">
        <v>0.35</v>
      </c>
      <c r="D44" s="30" t="s">
        <v>8</v>
      </c>
      <c r="E44" s="31" t="s">
        <v>76</v>
      </c>
      <c r="F44" s="31"/>
      <c r="I44" s="11"/>
    </row>
    <row r="45" spans="1:9" ht="30" x14ac:dyDescent="0.25">
      <c r="A45" s="27">
        <v>46083</v>
      </c>
      <c r="B45" s="28">
        <v>4</v>
      </c>
      <c r="C45" s="29">
        <v>0.4</v>
      </c>
      <c r="D45" s="30" t="s">
        <v>15</v>
      </c>
      <c r="E45" s="31" t="s">
        <v>75</v>
      </c>
      <c r="F45" s="31"/>
      <c r="I45" s="11"/>
    </row>
    <row r="46" spans="1:9" ht="30" x14ac:dyDescent="0.25">
      <c r="A46" s="27">
        <v>46083</v>
      </c>
      <c r="B46" s="28">
        <v>4</v>
      </c>
      <c r="C46" s="29">
        <v>0.75</v>
      </c>
      <c r="D46" s="30" t="s">
        <v>6</v>
      </c>
      <c r="E46" s="31" t="s">
        <v>74</v>
      </c>
      <c r="F46" s="31"/>
      <c r="I46" s="11"/>
    </row>
    <row r="47" spans="1:9" x14ac:dyDescent="0.25">
      <c r="A47" s="27">
        <v>46083</v>
      </c>
      <c r="B47" s="28">
        <v>4</v>
      </c>
      <c r="C47" s="29">
        <v>2.25</v>
      </c>
      <c r="D47" s="30" t="s">
        <v>6</v>
      </c>
      <c r="E47" s="31" t="s">
        <v>73</v>
      </c>
      <c r="F47" s="31"/>
      <c r="I47" s="11"/>
    </row>
    <row r="48" spans="1:9" ht="30" x14ac:dyDescent="0.25">
      <c r="A48" s="27">
        <v>46080</v>
      </c>
      <c r="B48" s="28">
        <v>3</v>
      </c>
      <c r="C48" s="29">
        <v>0.75</v>
      </c>
      <c r="D48" s="30" t="s">
        <v>6</v>
      </c>
      <c r="E48" s="31" t="s">
        <v>72</v>
      </c>
      <c r="F48" s="31"/>
      <c r="I48" s="11"/>
    </row>
    <row r="49" spans="1:9" ht="30" x14ac:dyDescent="0.25">
      <c r="A49" s="27">
        <v>46080</v>
      </c>
      <c r="B49" s="28">
        <v>3</v>
      </c>
      <c r="C49" s="29">
        <v>1</v>
      </c>
      <c r="D49" s="30" t="s">
        <v>8</v>
      </c>
      <c r="E49" s="31" t="s">
        <v>71</v>
      </c>
      <c r="F49" s="31"/>
      <c r="I49" s="11"/>
    </row>
    <row r="50" spans="1:9" ht="30" x14ac:dyDescent="0.25">
      <c r="A50" s="27">
        <v>46080</v>
      </c>
      <c r="B50" s="28">
        <v>3</v>
      </c>
      <c r="C50" s="29">
        <v>0.5</v>
      </c>
      <c r="D50" s="30" t="s">
        <v>15</v>
      </c>
      <c r="E50" s="31" t="s">
        <v>70</v>
      </c>
      <c r="F50" s="31"/>
      <c r="I50" s="11"/>
    </row>
    <row r="51" spans="1:9" x14ac:dyDescent="0.25">
      <c r="A51" s="27">
        <v>46079</v>
      </c>
      <c r="B51" s="28">
        <v>3</v>
      </c>
      <c r="C51" s="29">
        <v>0.75</v>
      </c>
      <c r="D51" s="30" t="s">
        <v>6</v>
      </c>
      <c r="E51" s="31" t="s">
        <v>69</v>
      </c>
      <c r="F51" s="31"/>
      <c r="I51" s="11"/>
    </row>
    <row r="52" spans="1:9" ht="60" x14ac:dyDescent="0.25">
      <c r="A52" s="27">
        <v>46079</v>
      </c>
      <c r="B52" s="28">
        <v>3</v>
      </c>
      <c r="C52" s="29">
        <v>1.5</v>
      </c>
      <c r="D52" s="30" t="s">
        <v>6</v>
      </c>
      <c r="E52" s="31" t="s">
        <v>68</v>
      </c>
      <c r="F52" s="31"/>
      <c r="I52" s="11"/>
    </row>
    <row r="53" spans="1:9" x14ac:dyDescent="0.25">
      <c r="A53" s="27">
        <v>46079</v>
      </c>
      <c r="B53" s="28">
        <v>3</v>
      </c>
      <c r="C53" s="29">
        <v>0.75</v>
      </c>
      <c r="D53" s="30" t="s">
        <v>8</v>
      </c>
      <c r="E53" s="31" t="s">
        <v>67</v>
      </c>
      <c r="F53" s="31"/>
      <c r="I53" s="11"/>
    </row>
    <row r="54" spans="1:9" x14ac:dyDescent="0.25">
      <c r="A54" s="27">
        <v>46079</v>
      </c>
      <c r="B54" s="28">
        <v>3</v>
      </c>
      <c r="C54" s="29">
        <v>0.75</v>
      </c>
      <c r="D54" s="30" t="s">
        <v>6</v>
      </c>
      <c r="E54" s="31" t="s">
        <v>66</v>
      </c>
      <c r="F54" s="31"/>
      <c r="I54" s="11"/>
    </row>
    <row r="55" spans="1:9" x14ac:dyDescent="0.25">
      <c r="A55" s="27">
        <v>46079</v>
      </c>
      <c r="B55" s="28">
        <v>3</v>
      </c>
      <c r="C55" s="29">
        <v>0.75</v>
      </c>
      <c r="D55" s="30" t="s">
        <v>6</v>
      </c>
      <c r="E55" s="31" t="s">
        <v>65</v>
      </c>
      <c r="F55" s="31"/>
      <c r="I55" s="11"/>
    </row>
    <row r="56" spans="1:9" x14ac:dyDescent="0.25">
      <c r="A56" s="27">
        <v>46079</v>
      </c>
      <c r="B56" s="28">
        <v>3</v>
      </c>
      <c r="C56" s="29">
        <v>0.75</v>
      </c>
      <c r="D56" s="30" t="s">
        <v>5</v>
      </c>
      <c r="E56" s="31" t="s">
        <v>64</v>
      </c>
      <c r="F56" s="31"/>
      <c r="I56" s="11"/>
    </row>
    <row r="57" spans="1:9" x14ac:dyDescent="0.25">
      <c r="A57" s="27">
        <v>46077</v>
      </c>
      <c r="B57" s="28">
        <v>3</v>
      </c>
      <c r="C57" s="29">
        <v>0.75</v>
      </c>
      <c r="D57" s="30" t="s">
        <v>5</v>
      </c>
      <c r="E57" s="31" t="s">
        <v>63</v>
      </c>
      <c r="F57" s="31"/>
      <c r="I57" s="11"/>
    </row>
    <row r="58" spans="1:9" x14ac:dyDescent="0.25">
      <c r="A58" s="27">
        <v>46076</v>
      </c>
      <c r="B58" s="28">
        <v>3</v>
      </c>
      <c r="C58" s="29">
        <v>1.25</v>
      </c>
      <c r="D58" s="30" t="s">
        <v>6</v>
      </c>
      <c r="E58" s="31" t="s">
        <v>62</v>
      </c>
      <c r="F58" s="31"/>
      <c r="I58" s="11"/>
    </row>
    <row r="59" spans="1:9" x14ac:dyDescent="0.25">
      <c r="A59" s="27">
        <v>46076</v>
      </c>
      <c r="B59" s="28">
        <v>3</v>
      </c>
      <c r="C59" s="29">
        <v>1</v>
      </c>
      <c r="D59" s="30" t="s">
        <v>6</v>
      </c>
      <c r="E59" s="31" t="s">
        <v>61</v>
      </c>
      <c r="F59" s="31"/>
      <c r="I59" s="11"/>
    </row>
    <row r="60" spans="1:9" ht="45" x14ac:dyDescent="0.25">
      <c r="A60" s="27">
        <v>46076</v>
      </c>
      <c r="B60" s="28">
        <v>3</v>
      </c>
      <c r="C60" s="29">
        <v>0.5</v>
      </c>
      <c r="D60" s="30" t="s">
        <v>5</v>
      </c>
      <c r="E60" s="31" t="s">
        <v>60</v>
      </c>
      <c r="F60" s="31"/>
      <c r="I60" s="11"/>
    </row>
    <row r="61" spans="1:9" ht="60" x14ac:dyDescent="0.25">
      <c r="A61" s="27">
        <v>46076</v>
      </c>
      <c r="B61" s="28">
        <v>3</v>
      </c>
      <c r="C61" s="29">
        <v>0.5</v>
      </c>
      <c r="D61" s="30" t="s">
        <v>15</v>
      </c>
      <c r="E61" s="31" t="s">
        <v>58</v>
      </c>
      <c r="F61" s="31" t="s">
        <v>59</v>
      </c>
      <c r="I61" s="11"/>
    </row>
    <row r="62" spans="1:9" ht="30" x14ac:dyDescent="0.25">
      <c r="A62" s="5">
        <v>46076</v>
      </c>
      <c r="B62" s="14">
        <v>3</v>
      </c>
      <c r="C62" s="8">
        <v>0.5</v>
      </c>
      <c r="D62" s="9" t="s">
        <v>6</v>
      </c>
      <c r="E62" s="10" t="s">
        <v>57</v>
      </c>
      <c r="F62" s="10"/>
      <c r="I62" s="11"/>
    </row>
    <row r="63" spans="1:9" x14ac:dyDescent="0.25">
      <c r="A63" s="5">
        <v>46066</v>
      </c>
      <c r="B63" s="14">
        <v>2</v>
      </c>
      <c r="C63" s="8">
        <v>0.25</v>
      </c>
      <c r="D63" s="9" t="s">
        <v>6</v>
      </c>
      <c r="E63" s="10" t="s">
        <v>56</v>
      </c>
      <c r="F63" s="10"/>
      <c r="I63" s="25"/>
    </row>
    <row r="64" spans="1:9" x14ac:dyDescent="0.25">
      <c r="A64" s="5">
        <v>46066</v>
      </c>
      <c r="B64" s="14">
        <v>2</v>
      </c>
      <c r="C64" s="8">
        <v>0.5</v>
      </c>
      <c r="D64" s="9" t="s">
        <v>8</v>
      </c>
      <c r="E64" s="10" t="s">
        <v>55</v>
      </c>
      <c r="F64" s="10"/>
      <c r="I64" s="11"/>
    </row>
    <row r="65" spans="1:9" ht="30" x14ac:dyDescent="0.25">
      <c r="A65" s="5">
        <v>46066</v>
      </c>
      <c r="B65" s="14">
        <v>2</v>
      </c>
      <c r="C65" s="8">
        <v>1.1499999999999999</v>
      </c>
      <c r="D65" s="9" t="s">
        <v>6</v>
      </c>
      <c r="E65" s="10" t="s">
        <v>54</v>
      </c>
      <c r="F65" s="10"/>
      <c r="I65" s="11"/>
    </row>
    <row r="66" spans="1:9" x14ac:dyDescent="0.25">
      <c r="A66" s="5">
        <v>46066</v>
      </c>
      <c r="B66" s="14">
        <v>2</v>
      </c>
      <c r="C66" s="8">
        <v>0.1</v>
      </c>
      <c r="D66" s="9" t="s">
        <v>6</v>
      </c>
      <c r="E66" s="10" t="s">
        <v>53</v>
      </c>
      <c r="F66" s="10"/>
      <c r="I66" s="11"/>
    </row>
    <row r="67" spans="1:9" x14ac:dyDescent="0.25">
      <c r="A67" s="5">
        <v>46066</v>
      </c>
      <c r="B67" s="14">
        <v>2</v>
      </c>
      <c r="C67" s="8">
        <v>0.25</v>
      </c>
      <c r="D67" s="9" t="s">
        <v>6</v>
      </c>
      <c r="E67" s="10" t="s">
        <v>52</v>
      </c>
      <c r="F67" s="10"/>
      <c r="I67" s="11"/>
    </row>
    <row r="68" spans="1:9" ht="30" x14ac:dyDescent="0.25">
      <c r="A68" s="5">
        <v>46065</v>
      </c>
      <c r="B68" s="14">
        <v>2</v>
      </c>
      <c r="C68" s="8">
        <v>0.5</v>
      </c>
      <c r="D68" s="9" t="s">
        <v>6</v>
      </c>
      <c r="E68" s="10" t="s">
        <v>51</v>
      </c>
      <c r="F68" s="10"/>
      <c r="I68" s="11"/>
    </row>
    <row r="69" spans="1:9" ht="45" x14ac:dyDescent="0.25">
      <c r="A69" s="5">
        <v>46065</v>
      </c>
      <c r="B69" s="14">
        <v>2</v>
      </c>
      <c r="C69" s="8">
        <v>1</v>
      </c>
      <c r="D69" s="9" t="s">
        <v>6</v>
      </c>
      <c r="E69" s="10" t="s">
        <v>50</v>
      </c>
      <c r="F69" s="10"/>
      <c r="I69" s="25"/>
    </row>
    <row r="70" spans="1:9" ht="30" x14ac:dyDescent="0.25">
      <c r="A70" s="5">
        <v>46065</v>
      </c>
      <c r="B70" s="14">
        <v>2</v>
      </c>
      <c r="C70" s="8">
        <v>0.5</v>
      </c>
      <c r="D70" s="9" t="s">
        <v>6</v>
      </c>
      <c r="E70" s="10" t="s">
        <v>49</v>
      </c>
      <c r="F70" s="10"/>
      <c r="I70" s="11"/>
    </row>
    <row r="71" spans="1:9" x14ac:dyDescent="0.25">
      <c r="A71" s="5">
        <v>46065</v>
      </c>
      <c r="B71" s="14">
        <v>2</v>
      </c>
      <c r="C71" s="8">
        <v>0.5</v>
      </c>
      <c r="D71" s="9" t="s">
        <v>6</v>
      </c>
      <c r="E71" s="10" t="s">
        <v>48</v>
      </c>
      <c r="F71" s="10"/>
      <c r="I71" s="11"/>
    </row>
    <row r="72" spans="1:9" x14ac:dyDescent="0.25">
      <c r="A72" s="5">
        <v>46065</v>
      </c>
      <c r="B72" s="14">
        <v>2</v>
      </c>
      <c r="C72" s="8">
        <v>0.25</v>
      </c>
      <c r="D72" s="9" t="s">
        <v>6</v>
      </c>
      <c r="E72" s="10" t="s">
        <v>47</v>
      </c>
      <c r="F72" s="10"/>
      <c r="I72" s="11"/>
    </row>
    <row r="73" spans="1:9" x14ac:dyDescent="0.25">
      <c r="A73" s="5">
        <v>46065</v>
      </c>
      <c r="B73" s="14">
        <v>2</v>
      </c>
      <c r="C73" s="8">
        <v>0.25</v>
      </c>
      <c r="D73" s="9" t="s">
        <v>6</v>
      </c>
      <c r="E73" s="10" t="s">
        <v>46</v>
      </c>
      <c r="F73" s="10"/>
      <c r="I73" s="11"/>
    </row>
    <row r="74" spans="1:9" ht="30" x14ac:dyDescent="0.25">
      <c r="A74" s="5">
        <v>46065</v>
      </c>
      <c r="B74" s="14">
        <v>2</v>
      </c>
      <c r="C74" s="8">
        <v>0.5</v>
      </c>
      <c r="D74" s="9" t="s">
        <v>8</v>
      </c>
      <c r="E74" s="10" t="s">
        <v>45</v>
      </c>
      <c r="F74" s="10"/>
      <c r="I74" s="25"/>
    </row>
    <row r="75" spans="1:9" x14ac:dyDescent="0.25">
      <c r="A75" s="5">
        <v>46065</v>
      </c>
      <c r="B75" s="14">
        <v>2</v>
      </c>
      <c r="C75" s="8">
        <v>1</v>
      </c>
      <c r="D75" s="9" t="s">
        <v>6</v>
      </c>
      <c r="E75" s="10" t="s">
        <v>44</v>
      </c>
      <c r="F75" s="10"/>
      <c r="I75" s="11"/>
    </row>
    <row r="76" spans="1:9" x14ac:dyDescent="0.25">
      <c r="A76" s="5">
        <v>46062</v>
      </c>
      <c r="B76" s="14">
        <v>2</v>
      </c>
      <c r="C76" s="8">
        <v>0.5</v>
      </c>
      <c r="D76" s="9" t="s">
        <v>8</v>
      </c>
      <c r="E76" s="10" t="s">
        <v>43</v>
      </c>
      <c r="F76" s="10"/>
      <c r="I76" s="11"/>
    </row>
    <row r="77" spans="1:9" x14ac:dyDescent="0.25">
      <c r="A77" s="5">
        <v>46062</v>
      </c>
      <c r="B77" s="14">
        <v>2</v>
      </c>
      <c r="C77" s="8">
        <v>1</v>
      </c>
      <c r="D77" s="9" t="s">
        <v>8</v>
      </c>
      <c r="E77" s="10" t="s">
        <v>42</v>
      </c>
      <c r="F77" s="10"/>
      <c r="I77" s="11"/>
    </row>
    <row r="78" spans="1:9" x14ac:dyDescent="0.25">
      <c r="A78" s="5">
        <v>46059</v>
      </c>
      <c r="B78" s="14">
        <v>1</v>
      </c>
      <c r="C78" s="8">
        <v>0.75</v>
      </c>
      <c r="D78" s="9" t="s">
        <v>6</v>
      </c>
      <c r="E78" s="10" t="s">
        <v>41</v>
      </c>
      <c r="F78" s="10"/>
      <c r="I78" s="11"/>
    </row>
    <row r="79" spans="1:9" ht="30" x14ac:dyDescent="0.25">
      <c r="A79" s="5">
        <v>46059</v>
      </c>
      <c r="B79" s="14">
        <v>1</v>
      </c>
      <c r="C79" s="8">
        <v>0.5</v>
      </c>
      <c r="D79" s="9" t="s">
        <v>8</v>
      </c>
      <c r="E79" s="10" t="s">
        <v>40</v>
      </c>
      <c r="F79" s="10"/>
      <c r="I79" s="11"/>
    </row>
    <row r="80" spans="1:9" ht="30" x14ac:dyDescent="0.25">
      <c r="A80" s="5">
        <v>46059</v>
      </c>
      <c r="B80" s="14">
        <v>1</v>
      </c>
      <c r="C80" s="8">
        <v>1</v>
      </c>
      <c r="D80" s="9" t="s">
        <v>6</v>
      </c>
      <c r="E80" s="10" t="s">
        <v>39</v>
      </c>
      <c r="F80" s="10"/>
      <c r="I80" s="11"/>
    </row>
    <row r="81" spans="1:9" x14ac:dyDescent="0.25">
      <c r="A81" s="5">
        <v>46058</v>
      </c>
      <c r="B81" s="14">
        <v>1</v>
      </c>
      <c r="C81" s="8">
        <v>0.5</v>
      </c>
      <c r="D81" s="9" t="s">
        <v>6</v>
      </c>
      <c r="E81" s="10" t="s">
        <v>38</v>
      </c>
      <c r="F81" s="10"/>
      <c r="I81" s="11"/>
    </row>
    <row r="82" spans="1:9" x14ac:dyDescent="0.25">
      <c r="A82" s="5">
        <v>46058</v>
      </c>
      <c r="B82" s="14">
        <v>1</v>
      </c>
      <c r="C82" s="8">
        <v>1</v>
      </c>
      <c r="D82" s="9" t="s">
        <v>6</v>
      </c>
      <c r="E82" s="10" t="s">
        <v>37</v>
      </c>
      <c r="F82" s="10"/>
      <c r="I82" s="11"/>
    </row>
    <row r="83" spans="1:9" ht="30" x14ac:dyDescent="0.25">
      <c r="A83" s="5">
        <v>46058</v>
      </c>
      <c r="B83" s="14">
        <v>1</v>
      </c>
      <c r="C83" s="8">
        <v>0.5</v>
      </c>
      <c r="D83" s="9" t="s">
        <v>8</v>
      </c>
      <c r="E83" s="10" t="s">
        <v>35</v>
      </c>
      <c r="F83" s="10" t="s">
        <v>36</v>
      </c>
      <c r="I83" s="11"/>
    </row>
    <row r="84" spans="1:9" x14ac:dyDescent="0.25">
      <c r="A84" s="5">
        <v>46058</v>
      </c>
      <c r="B84" s="14">
        <v>1</v>
      </c>
      <c r="C84" s="8">
        <v>0.25</v>
      </c>
      <c r="D84" s="9" t="s">
        <v>8</v>
      </c>
      <c r="E84" s="10" t="s">
        <v>34</v>
      </c>
      <c r="F84" s="10"/>
      <c r="I84" s="11"/>
    </row>
    <row r="85" spans="1:9" x14ac:dyDescent="0.25">
      <c r="A85" s="5">
        <v>46058</v>
      </c>
      <c r="B85" s="14">
        <v>1</v>
      </c>
      <c r="C85" s="8">
        <v>0.75</v>
      </c>
      <c r="D85" s="9" t="s">
        <v>7</v>
      </c>
      <c r="E85" s="10" t="s">
        <v>33</v>
      </c>
      <c r="F85" s="10"/>
      <c r="I85" s="11"/>
    </row>
    <row r="86" spans="1:9" ht="60" x14ac:dyDescent="0.25">
      <c r="A86" s="5">
        <v>46058</v>
      </c>
      <c r="B86" s="14">
        <v>1</v>
      </c>
      <c r="C86" s="8">
        <v>1</v>
      </c>
      <c r="D86" s="9" t="s">
        <v>7</v>
      </c>
      <c r="E86" s="10" t="s">
        <v>32</v>
      </c>
      <c r="F86" s="10"/>
      <c r="I86" s="11"/>
    </row>
    <row r="87" spans="1:9" x14ac:dyDescent="0.25">
      <c r="A87" s="5">
        <v>46058</v>
      </c>
      <c r="B87" s="14">
        <v>1</v>
      </c>
      <c r="C87" s="8">
        <v>0.5</v>
      </c>
      <c r="D87" s="9" t="s">
        <v>8</v>
      </c>
      <c r="E87" s="10" t="s">
        <v>31</v>
      </c>
      <c r="F87" s="10"/>
      <c r="I87" s="11"/>
    </row>
    <row r="88" spans="1:9" ht="30" x14ac:dyDescent="0.25">
      <c r="A88" s="5">
        <v>46056</v>
      </c>
      <c r="B88" s="14">
        <v>1</v>
      </c>
      <c r="C88" s="8">
        <v>1</v>
      </c>
      <c r="D88" s="9" t="s">
        <v>7</v>
      </c>
      <c r="E88" s="10" t="s">
        <v>23</v>
      </c>
      <c r="F88" s="10"/>
      <c r="I88" s="11"/>
    </row>
    <row r="89" spans="1:9" x14ac:dyDescent="0.25">
      <c r="A89" s="5">
        <v>46055</v>
      </c>
      <c r="B89" s="14">
        <v>1</v>
      </c>
      <c r="C89" s="8">
        <v>0.5</v>
      </c>
      <c r="D89" s="9" t="s">
        <v>5</v>
      </c>
      <c r="E89" s="10" t="s">
        <v>22</v>
      </c>
      <c r="F89" s="10"/>
      <c r="I89" s="11"/>
    </row>
    <row r="90" spans="1:9" x14ac:dyDescent="0.25">
      <c r="A90" s="5">
        <v>46055</v>
      </c>
      <c r="B90" s="14">
        <v>1</v>
      </c>
      <c r="C90" s="8">
        <v>2</v>
      </c>
      <c r="D90" s="9" t="s">
        <v>8</v>
      </c>
      <c r="E90" s="10" t="s">
        <v>21</v>
      </c>
      <c r="F90" s="10"/>
      <c r="I90" s="11"/>
    </row>
    <row r="91" spans="1:9" x14ac:dyDescent="0.25">
      <c r="A91" s="5">
        <v>46055</v>
      </c>
      <c r="B91" s="14">
        <v>1</v>
      </c>
      <c r="C91" s="8">
        <v>0.5</v>
      </c>
      <c r="D91" s="9" t="s">
        <v>5</v>
      </c>
      <c r="E91" s="10" t="s">
        <v>20</v>
      </c>
      <c r="F91" s="10"/>
      <c r="I91" s="11"/>
    </row>
    <row r="92" spans="1:9" x14ac:dyDescent="0.25">
      <c r="A92" s="5">
        <v>46055</v>
      </c>
      <c r="B92" s="14">
        <v>1</v>
      </c>
      <c r="C92" s="8">
        <v>0.5</v>
      </c>
      <c r="D92" s="9" t="s">
        <v>8</v>
      </c>
      <c r="E92" s="10" t="s">
        <v>19</v>
      </c>
      <c r="F92" s="10"/>
      <c r="I92" s="11"/>
    </row>
    <row r="93" spans="1:9" x14ac:dyDescent="0.25">
      <c r="A93" s="5"/>
      <c r="B93" s="14"/>
      <c r="C93" s="8"/>
      <c r="D93" s="9"/>
      <c r="E93" s="10"/>
      <c r="F93" s="10"/>
      <c r="I93" s="11"/>
    </row>
    <row r="94" spans="1:9" x14ac:dyDescent="0.25">
      <c r="A94" s="5"/>
      <c r="B94" s="14"/>
      <c r="C94" s="8"/>
      <c r="D94" s="9"/>
      <c r="E94" s="10"/>
      <c r="F94" s="10"/>
      <c r="I94" s="11"/>
    </row>
    <row r="95" spans="1:9" x14ac:dyDescent="0.25">
      <c r="A95" s="5"/>
      <c r="B95" s="14"/>
      <c r="C95" s="8"/>
      <c r="D95" s="9"/>
      <c r="E95" s="10"/>
      <c r="F95" s="10"/>
      <c r="I95" s="11"/>
    </row>
    <row r="96" spans="1:9" x14ac:dyDescent="0.25">
      <c r="A96" s="5"/>
      <c r="B96" s="14"/>
      <c r="C96" s="8"/>
      <c r="D96" s="9"/>
      <c r="E96" s="10"/>
      <c r="F96" s="10"/>
      <c r="I96" s="11"/>
    </row>
    <row r="97" spans="1:9" x14ac:dyDescent="0.25">
      <c r="A97" s="5"/>
      <c r="B97" s="14"/>
      <c r="C97" s="8"/>
      <c r="D97" s="9"/>
      <c r="E97" s="10"/>
      <c r="F97" s="10"/>
      <c r="I97" s="11"/>
    </row>
    <row r="98" spans="1:9" x14ac:dyDescent="0.25">
      <c r="A98" s="5"/>
      <c r="B98" s="14"/>
      <c r="C98" s="8"/>
      <c r="D98" s="9"/>
      <c r="E98" s="10"/>
      <c r="F98" s="10"/>
      <c r="I98" s="11"/>
    </row>
    <row r="99" spans="1:9" x14ac:dyDescent="0.25">
      <c r="A99" s="5"/>
      <c r="B99" s="14"/>
      <c r="C99" s="8"/>
      <c r="D99" s="9"/>
      <c r="E99" s="10"/>
      <c r="F99" s="10"/>
      <c r="I99" s="11"/>
    </row>
    <row r="100" spans="1:9" x14ac:dyDescent="0.25">
      <c r="A100" s="5"/>
      <c r="B100" s="14"/>
      <c r="C100" s="8"/>
      <c r="D100" s="9"/>
      <c r="E100" s="10"/>
      <c r="F100" s="10"/>
      <c r="I100" s="11"/>
    </row>
    <row r="101" spans="1:9" x14ac:dyDescent="0.25">
      <c r="A101" s="5"/>
      <c r="B101" s="14"/>
      <c r="C101" s="8"/>
      <c r="D101" s="9"/>
      <c r="E101" s="10"/>
      <c r="F101" s="10"/>
      <c r="I101" s="11"/>
    </row>
    <row r="102" spans="1:9" x14ac:dyDescent="0.25">
      <c r="A102" s="5"/>
      <c r="B102" s="14"/>
      <c r="C102" s="8"/>
      <c r="D102" s="9"/>
      <c r="E102" s="10"/>
      <c r="F102" s="10"/>
      <c r="I102" s="11"/>
    </row>
    <row r="103" spans="1:9" x14ac:dyDescent="0.25">
      <c r="A103" s="5"/>
      <c r="B103" s="14"/>
      <c r="C103" s="8"/>
      <c r="D103" s="9"/>
      <c r="E103" s="10"/>
      <c r="F103" s="10"/>
      <c r="I103" s="11"/>
    </row>
    <row r="104" spans="1:9" x14ac:dyDescent="0.25">
      <c r="A104" s="5"/>
      <c r="B104" s="14"/>
      <c r="C104" s="8"/>
      <c r="D104" s="9"/>
      <c r="E104" s="10"/>
      <c r="F104" s="10"/>
      <c r="I104" s="11"/>
    </row>
    <row r="105" spans="1:9" x14ac:dyDescent="0.25">
      <c r="A105" s="5"/>
      <c r="B105" s="14"/>
      <c r="C105" s="8"/>
      <c r="D105" s="9"/>
      <c r="E105" s="10"/>
      <c r="F105" s="10"/>
      <c r="I105" s="11"/>
    </row>
    <row r="106" spans="1:9" x14ac:dyDescent="0.25">
      <c r="A106" s="5"/>
      <c r="B106" s="14"/>
      <c r="C106" s="8"/>
      <c r="D106" s="9"/>
      <c r="E106" s="10"/>
      <c r="F106" s="10"/>
      <c r="I106" s="11"/>
    </row>
    <row r="107" spans="1:9" x14ac:dyDescent="0.25">
      <c r="A107" s="5"/>
      <c r="B107" s="14"/>
      <c r="C107" s="8"/>
      <c r="D107" s="9"/>
      <c r="E107" s="10"/>
      <c r="F107" s="10"/>
      <c r="I107" s="11"/>
    </row>
    <row r="108" spans="1:9" x14ac:dyDescent="0.25">
      <c r="A108" s="5"/>
      <c r="B108" s="14"/>
      <c r="C108" s="8"/>
      <c r="D108" s="9"/>
      <c r="E108" s="10"/>
      <c r="F108" s="10"/>
      <c r="I108" s="11"/>
    </row>
    <row r="109" spans="1:9" x14ac:dyDescent="0.25">
      <c r="A109" s="5"/>
      <c r="B109" s="14"/>
      <c r="C109" s="8"/>
      <c r="D109" s="9"/>
      <c r="E109" s="10"/>
      <c r="F109" s="10"/>
      <c r="I109" s="11"/>
    </row>
    <row r="110" spans="1:9" x14ac:dyDescent="0.25">
      <c r="A110" s="5"/>
      <c r="B110" s="14"/>
      <c r="C110" s="8"/>
      <c r="D110" s="9"/>
      <c r="E110" s="10"/>
      <c r="F110" s="10"/>
      <c r="I110" s="11"/>
    </row>
    <row r="111" spans="1:9" x14ac:dyDescent="0.25">
      <c r="A111" s="5"/>
      <c r="B111" s="14"/>
      <c r="C111" s="8"/>
      <c r="D111" s="9"/>
      <c r="E111" s="10"/>
      <c r="F111" s="10"/>
      <c r="I111" s="11"/>
    </row>
    <row r="112" spans="1:9" x14ac:dyDescent="0.25">
      <c r="A112" s="5"/>
      <c r="B112" s="14"/>
      <c r="C112" s="8"/>
      <c r="D112" s="9"/>
      <c r="E112" s="10"/>
      <c r="F112" s="10"/>
      <c r="I112" s="11"/>
    </row>
    <row r="113" spans="1:9" x14ac:dyDescent="0.25">
      <c r="A113" s="5"/>
      <c r="B113" s="14"/>
      <c r="C113" s="8"/>
      <c r="D113" s="9"/>
      <c r="E113" s="10"/>
      <c r="F113" s="10"/>
      <c r="I113" s="11"/>
    </row>
    <row r="114" spans="1:9" x14ac:dyDescent="0.25">
      <c r="A114" s="5"/>
      <c r="B114" s="14"/>
      <c r="C114" s="8"/>
      <c r="D114" s="9"/>
      <c r="E114" s="10"/>
      <c r="F114" s="10"/>
      <c r="I114" s="11"/>
    </row>
    <row r="115" spans="1:9" x14ac:dyDescent="0.25">
      <c r="A115" s="5"/>
      <c r="B115" s="14"/>
      <c r="C115" s="8"/>
      <c r="D115" s="9"/>
      <c r="E115" s="10"/>
      <c r="F115" s="10"/>
      <c r="I115" s="11"/>
    </row>
    <row r="116" spans="1:9" x14ac:dyDescent="0.25">
      <c r="A116" s="5"/>
      <c r="B116" s="14"/>
      <c r="C116" s="8"/>
      <c r="D116" s="9"/>
      <c r="E116" s="10"/>
      <c r="F116" s="10"/>
      <c r="I116" s="11"/>
    </row>
    <row r="117" spans="1:9" x14ac:dyDescent="0.25">
      <c r="A117" s="5"/>
      <c r="B117" s="14"/>
      <c r="C117" s="8"/>
      <c r="D117" s="9"/>
      <c r="E117" s="10"/>
      <c r="F117" s="10"/>
    </row>
    <row r="118" spans="1:9" x14ac:dyDescent="0.25">
      <c r="A118" s="5"/>
      <c r="B118" s="14"/>
      <c r="C118" s="8"/>
      <c r="D118" s="9"/>
      <c r="E118" s="10"/>
      <c r="F118" s="10"/>
    </row>
    <row r="119" spans="1:9" x14ac:dyDescent="0.25">
      <c r="A119" s="5"/>
      <c r="B119" s="14"/>
      <c r="C119" s="8"/>
      <c r="D119" s="9"/>
      <c r="E119" s="10"/>
      <c r="F119" s="10"/>
    </row>
    <row r="120" spans="1:9" x14ac:dyDescent="0.25">
      <c r="A120" s="5"/>
      <c r="B120" s="14"/>
      <c r="C120" s="8"/>
      <c r="D120" s="9"/>
      <c r="E120" s="10"/>
      <c r="F120" s="10"/>
    </row>
    <row r="121" spans="1:9" x14ac:dyDescent="0.25">
      <c r="A121" s="5"/>
      <c r="B121" s="14"/>
      <c r="C121" s="8"/>
      <c r="D121" s="9"/>
      <c r="E121" s="10"/>
      <c r="F121" s="10"/>
    </row>
    <row r="122" spans="1:9" x14ac:dyDescent="0.25">
      <c r="A122" s="5"/>
      <c r="B122" s="14"/>
      <c r="C122" s="8"/>
      <c r="D122" s="9"/>
      <c r="E122" s="10"/>
      <c r="F122" s="10"/>
    </row>
    <row r="123" spans="1:9" x14ac:dyDescent="0.25">
      <c r="A123" s="5"/>
      <c r="B123" s="14"/>
      <c r="C123" s="8"/>
      <c r="D123" s="9"/>
      <c r="E123" s="10"/>
      <c r="F123" s="10"/>
    </row>
    <row r="124" spans="1:9" x14ac:dyDescent="0.25">
      <c r="A124" s="5"/>
      <c r="B124" s="14"/>
      <c r="C124" s="8"/>
      <c r="D124" s="9"/>
      <c r="E124" s="10"/>
      <c r="F124" s="10"/>
    </row>
    <row r="125" spans="1:9" x14ac:dyDescent="0.25">
      <c r="A125" s="5"/>
      <c r="B125" s="14"/>
      <c r="C125" s="8"/>
      <c r="D125" s="9"/>
      <c r="E125" s="10"/>
      <c r="F125" s="10"/>
    </row>
    <row r="126" spans="1:9" x14ac:dyDescent="0.25">
      <c r="A126" s="5"/>
      <c r="B126" s="14"/>
      <c r="C126" s="8"/>
      <c r="D126" s="9"/>
      <c r="E126" s="10"/>
      <c r="F126" s="10"/>
    </row>
    <row r="127" spans="1:9" x14ac:dyDescent="0.25">
      <c r="A127" s="5"/>
      <c r="B127" s="14"/>
      <c r="C127" s="8"/>
      <c r="D127" s="9"/>
      <c r="E127" s="10"/>
      <c r="F127" s="10"/>
    </row>
    <row r="128" spans="1:9" x14ac:dyDescent="0.25">
      <c r="A128" s="5"/>
      <c r="B128" s="14"/>
      <c r="C128" s="8"/>
      <c r="D128" s="9"/>
      <c r="E128" s="10"/>
      <c r="F128" s="10"/>
    </row>
    <row r="129" spans="1:6" x14ac:dyDescent="0.25">
      <c r="A129" s="5"/>
      <c r="B129" s="14"/>
      <c r="C129" s="8"/>
      <c r="D129" s="9"/>
      <c r="E129" s="10"/>
      <c r="F129" s="10"/>
    </row>
    <row r="130" spans="1:6" x14ac:dyDescent="0.25">
      <c r="A130" s="5"/>
      <c r="B130" s="14"/>
      <c r="C130" s="8"/>
      <c r="D130" s="9"/>
      <c r="E130" s="10"/>
      <c r="F130" s="10"/>
    </row>
    <row r="131" spans="1:6" x14ac:dyDescent="0.25">
      <c r="A131" s="5"/>
      <c r="B131" s="14"/>
      <c r="C131" s="8"/>
      <c r="D131" s="9"/>
      <c r="E131" s="10"/>
      <c r="F131" s="10"/>
    </row>
    <row r="132" spans="1:6" x14ac:dyDescent="0.25">
      <c r="A132" s="5"/>
      <c r="B132" s="14"/>
      <c r="C132" s="8"/>
      <c r="D132" s="9"/>
      <c r="E132" s="10"/>
      <c r="F132" s="10"/>
    </row>
    <row r="133" spans="1:6" x14ac:dyDescent="0.25">
      <c r="A133" s="5"/>
      <c r="B133" s="14"/>
      <c r="C133" s="8"/>
      <c r="D133" s="9"/>
      <c r="E133" s="10"/>
      <c r="F133" s="10"/>
    </row>
    <row r="134" spans="1:6" x14ac:dyDescent="0.25">
      <c r="A134" s="5"/>
      <c r="B134" s="14"/>
      <c r="C134" s="8"/>
      <c r="D134" s="9"/>
      <c r="E134" s="10"/>
      <c r="F134" s="10"/>
    </row>
    <row r="135" spans="1:6" x14ac:dyDescent="0.25">
      <c r="A135" s="5"/>
      <c r="B135" s="14"/>
      <c r="C135" s="8"/>
      <c r="D135" s="9"/>
      <c r="E135" s="10"/>
      <c r="F135" s="10"/>
    </row>
    <row r="136" spans="1:6" x14ac:dyDescent="0.25">
      <c r="A136" s="5"/>
      <c r="B136" s="14"/>
      <c r="C136" s="8"/>
      <c r="D136" s="9"/>
      <c r="E136" s="10"/>
      <c r="F136" s="10"/>
    </row>
    <row r="137" spans="1:6" x14ac:dyDescent="0.25">
      <c r="A137" s="5"/>
      <c r="B137" s="14"/>
      <c r="C137" s="8"/>
      <c r="D137" s="9"/>
      <c r="E137" s="10"/>
      <c r="F137" s="10"/>
    </row>
    <row r="138" spans="1:6" x14ac:dyDescent="0.25">
      <c r="A138" s="5"/>
      <c r="B138" s="14"/>
      <c r="C138" s="8"/>
      <c r="D138" s="9"/>
      <c r="E138" s="10"/>
      <c r="F138" s="10"/>
    </row>
    <row r="139" spans="1:6" x14ac:dyDescent="0.25">
      <c r="A139" s="5"/>
      <c r="B139" s="14"/>
      <c r="C139" s="8"/>
      <c r="D139" s="9"/>
      <c r="E139" s="10"/>
      <c r="F139" s="10"/>
    </row>
    <row r="140" spans="1:6" x14ac:dyDescent="0.25">
      <c r="A140" s="5"/>
      <c r="B140" s="14"/>
      <c r="C140" s="8"/>
      <c r="D140" s="9"/>
      <c r="E140" s="10"/>
      <c r="F140" s="10"/>
    </row>
    <row r="141" spans="1:6" x14ac:dyDescent="0.25">
      <c r="A141" s="5"/>
      <c r="B141" s="14"/>
      <c r="C141" s="8"/>
      <c r="D141" s="9"/>
      <c r="E141" s="10"/>
      <c r="F141" s="10"/>
    </row>
    <row r="142" spans="1:6" x14ac:dyDescent="0.25">
      <c r="A142" s="5"/>
      <c r="B142" s="14"/>
      <c r="C142" s="8"/>
      <c r="D142" s="9"/>
      <c r="E142" s="10"/>
      <c r="F142" s="10"/>
    </row>
    <row r="143" spans="1:6" x14ac:dyDescent="0.25">
      <c r="A143" s="5"/>
      <c r="B143" s="14"/>
      <c r="C143" s="8"/>
      <c r="D143" s="9"/>
      <c r="E143" s="10"/>
      <c r="F143" s="10"/>
    </row>
    <row r="144" spans="1:6" x14ac:dyDescent="0.25">
      <c r="A144" s="5"/>
      <c r="B144" s="14"/>
      <c r="C144" s="8"/>
      <c r="D144" s="9"/>
      <c r="E144" s="10"/>
      <c r="F144" s="10"/>
    </row>
    <row r="145" spans="1:6" x14ac:dyDescent="0.25">
      <c r="A145" s="5"/>
      <c r="B145" s="14"/>
      <c r="C145" s="8"/>
      <c r="D145" s="9"/>
      <c r="E145" s="10"/>
      <c r="F145" s="10"/>
    </row>
    <row r="146" spans="1:6" x14ac:dyDescent="0.25">
      <c r="A146" s="5"/>
      <c r="B146" s="14"/>
      <c r="C146" s="8"/>
      <c r="D146" s="9"/>
      <c r="E146" s="10"/>
      <c r="F146" s="10"/>
    </row>
    <row r="147" spans="1:6" x14ac:dyDescent="0.25">
      <c r="A147" s="5"/>
      <c r="B147" s="14"/>
      <c r="C147" s="8"/>
      <c r="D147" s="9"/>
      <c r="E147" s="10"/>
      <c r="F147" s="10"/>
    </row>
    <row r="148" spans="1:6" x14ac:dyDescent="0.25">
      <c r="A148" s="5"/>
      <c r="B148" s="14"/>
      <c r="C148" s="8"/>
      <c r="D148" s="9"/>
      <c r="E148" s="10"/>
      <c r="F148" s="10"/>
    </row>
    <row r="149" spans="1:6" x14ac:dyDescent="0.25">
      <c r="A149" s="5"/>
      <c r="B149" s="14"/>
      <c r="C149" s="8"/>
      <c r="D149" s="9"/>
      <c r="E149" s="10"/>
      <c r="F149" s="10"/>
    </row>
    <row r="150" spans="1:6" x14ac:dyDescent="0.25">
      <c r="E150" s="13" t="s">
        <v>14</v>
      </c>
    </row>
  </sheetData>
  <sheetProtection selectLockedCells="1"/>
  <mergeCells count="1">
    <mergeCell ref="A1:F2"/>
  </mergeCells>
  <pageMargins left="0.7" right="0.7" top="0.75" bottom="0.75" header="0.3" footer="0.3"/>
  <pageSetup paperSize="152" scale="7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Paramètres!$A$2:$A$7</xm:f>
          </x14:formula1>
          <xm:sqref>D7:D149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le2"/>
  <dimension ref="A2:L6"/>
  <sheetViews>
    <sheetView tabSelected="1" zoomScaleNormal="100" workbookViewId="0">
      <selection activeCell="L4" sqref="L4"/>
    </sheetView>
  </sheetViews>
  <sheetFormatPr baseColWidth="10" defaultRowHeight="15" x14ac:dyDescent="0.25"/>
  <cols>
    <col min="1" max="1" width="17.140625" customWidth="1"/>
    <col min="2" max="2" width="7" customWidth="1"/>
    <col min="3" max="3" width="11.140625" bestFit="1" customWidth="1"/>
    <col min="4" max="4" width="18.85546875" customWidth="1"/>
    <col min="5" max="5" width="8.28515625" customWidth="1"/>
    <col min="6" max="6" width="19.42578125" customWidth="1"/>
    <col min="7" max="7" width="11.140625" customWidth="1"/>
    <col min="8" max="8" width="14.42578125" customWidth="1"/>
    <col min="9" max="9" width="20.7109375" customWidth="1"/>
    <col min="10" max="10" width="10.7109375" customWidth="1"/>
    <col min="11" max="11" width="35.140625" customWidth="1"/>
    <col min="12" max="12" width="7.85546875" customWidth="1"/>
    <col min="13" max="13" width="17.7109375" bestFit="1" customWidth="1"/>
  </cols>
  <sheetData>
    <row r="2" spans="1:12" ht="15.75" thickBot="1" x14ac:dyDescent="0.3"/>
    <row r="3" spans="1:12" x14ac:dyDescent="0.25">
      <c r="A3" s="3" t="s">
        <v>12</v>
      </c>
      <c r="F3" s="43" t="s">
        <v>30</v>
      </c>
      <c r="G3" s="48" t="s">
        <v>25</v>
      </c>
      <c r="H3" s="52"/>
      <c r="I3" s="47" t="s">
        <v>26</v>
      </c>
      <c r="J3" s="48"/>
      <c r="K3" s="20" t="s">
        <v>29</v>
      </c>
    </row>
    <row r="4" spans="1:12" x14ac:dyDescent="0.25">
      <c r="B4" t="s">
        <v>5</v>
      </c>
      <c r="C4" t="s">
        <v>10</v>
      </c>
      <c r="F4" s="44"/>
      <c r="G4" s="50">
        <v>15</v>
      </c>
      <c r="H4" s="53"/>
      <c r="I4" s="49">
        <f>0.75*G4</f>
        <v>11.25</v>
      </c>
      <c r="J4" s="50"/>
      <c r="K4" s="21">
        <f>K6/0.75</f>
        <v>99</v>
      </c>
      <c r="L4">
        <f>I6/0.75</f>
        <v>98</v>
      </c>
    </row>
    <row r="5" spans="1:12" x14ac:dyDescent="0.25">
      <c r="A5" s="4">
        <v>43101</v>
      </c>
      <c r="B5">
        <v>1</v>
      </c>
      <c r="C5">
        <v>1</v>
      </c>
      <c r="F5" s="45">
        <v>7</v>
      </c>
      <c r="G5" s="39" t="s">
        <v>27</v>
      </c>
      <c r="H5" s="40"/>
      <c r="I5" s="45" t="s">
        <v>24</v>
      </c>
      <c r="J5" s="39"/>
      <c r="K5" s="22" t="s">
        <v>28</v>
      </c>
      <c r="L5" s="18"/>
    </row>
    <row r="6" spans="1:12" ht="15.75" thickBot="1" x14ac:dyDescent="0.3">
      <c r="A6" s="4" t="s">
        <v>10</v>
      </c>
      <c r="B6">
        <v>1</v>
      </c>
      <c r="C6">
        <v>1</v>
      </c>
      <c r="F6" s="46"/>
      <c r="G6" s="41">
        <v>7</v>
      </c>
      <c r="H6" s="42"/>
      <c r="I6" s="51">
        <f>I4*G6-(F5*0.75)</f>
        <v>73.5</v>
      </c>
      <c r="J6" s="41"/>
      <c r="K6" s="23">
        <f>SUM(Journal!C1:C178)</f>
        <v>74.25</v>
      </c>
      <c r="L6" s="19"/>
    </row>
  </sheetData>
  <mergeCells count="10">
    <mergeCell ref="G5:H5"/>
    <mergeCell ref="G6:H6"/>
    <mergeCell ref="F3:F4"/>
    <mergeCell ref="F5:F6"/>
    <mergeCell ref="I3:J3"/>
    <mergeCell ref="I4:J4"/>
    <mergeCell ref="I5:J5"/>
    <mergeCell ref="I6:J6"/>
    <mergeCell ref="G3:H3"/>
    <mergeCell ref="G4:H4"/>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G56"/>
  <sheetViews>
    <sheetView zoomScale="115" zoomScaleNormal="115" workbookViewId="0">
      <selection activeCell="H11" sqref="H11"/>
    </sheetView>
  </sheetViews>
  <sheetFormatPr baseColWidth="10" defaultRowHeight="15" x14ac:dyDescent="0.25"/>
  <cols>
    <col min="1" max="1" width="13.140625" bestFit="1" customWidth="1"/>
    <col min="4" max="4" width="23.7109375" customWidth="1"/>
    <col min="5" max="5" width="13.85546875" customWidth="1"/>
  </cols>
  <sheetData>
    <row r="1" spans="1:7" x14ac:dyDescent="0.25">
      <c r="A1" s="2" t="s">
        <v>4</v>
      </c>
    </row>
    <row r="2" spans="1:7" x14ac:dyDescent="0.25">
      <c r="A2" s="1" t="s">
        <v>5</v>
      </c>
    </row>
    <row r="3" spans="1:7" x14ac:dyDescent="0.25">
      <c r="A3" t="s">
        <v>15</v>
      </c>
    </row>
    <row r="4" spans="1:7" x14ac:dyDescent="0.25">
      <c r="A4" s="1" t="s">
        <v>6</v>
      </c>
    </row>
    <row r="5" spans="1:7" x14ac:dyDescent="0.25">
      <c r="A5" s="1" t="s">
        <v>7</v>
      </c>
    </row>
    <row r="6" spans="1:7" x14ac:dyDescent="0.25">
      <c r="A6" s="1" t="s">
        <v>8</v>
      </c>
    </row>
    <row r="7" spans="1:7" x14ac:dyDescent="0.25">
      <c r="A7" s="1" t="s">
        <v>9</v>
      </c>
    </row>
    <row r="8" spans="1:7" x14ac:dyDescent="0.25">
      <c r="G8" s="24"/>
    </row>
    <row r="9" spans="1:7" x14ac:dyDescent="0.25">
      <c r="G9" s="24"/>
    </row>
    <row r="10" spans="1:7" x14ac:dyDescent="0.25">
      <c r="G10" s="24"/>
    </row>
    <row r="11" spans="1:7" x14ac:dyDescent="0.25">
      <c r="G11" s="24"/>
    </row>
    <row r="12" spans="1:7" x14ac:dyDescent="0.25">
      <c r="G12" s="24"/>
    </row>
    <row r="13" spans="1:7" x14ac:dyDescent="0.25">
      <c r="G13" s="24"/>
    </row>
    <row r="14" spans="1:7" x14ac:dyDescent="0.25">
      <c r="G14" s="24"/>
    </row>
    <row r="15" spans="1:7" x14ac:dyDescent="0.25">
      <c r="G15" s="24"/>
    </row>
    <row r="16" spans="1:7" x14ac:dyDescent="0.25">
      <c r="G16" s="24"/>
    </row>
    <row r="17" spans="7:7" x14ac:dyDescent="0.25">
      <c r="G17" s="24"/>
    </row>
    <row r="18" spans="7:7" x14ac:dyDescent="0.25">
      <c r="G18" s="24"/>
    </row>
    <row r="19" spans="7:7" x14ac:dyDescent="0.25">
      <c r="G19" s="24"/>
    </row>
    <row r="20" spans="7:7" x14ac:dyDescent="0.25">
      <c r="G20" s="24"/>
    </row>
    <row r="21" spans="7:7" x14ac:dyDescent="0.25">
      <c r="G21" s="24"/>
    </row>
    <row r="22" spans="7:7" x14ac:dyDescent="0.25">
      <c r="G22" s="24"/>
    </row>
    <row r="23" spans="7:7" x14ac:dyDescent="0.25">
      <c r="G23" s="24"/>
    </row>
    <row r="24" spans="7:7" x14ac:dyDescent="0.25">
      <c r="G24" s="24"/>
    </row>
    <row r="25" spans="7:7" x14ac:dyDescent="0.25">
      <c r="G25" s="24"/>
    </row>
    <row r="26" spans="7:7" x14ac:dyDescent="0.25">
      <c r="G26" s="24"/>
    </row>
    <row r="27" spans="7:7" x14ac:dyDescent="0.25">
      <c r="G27" s="24"/>
    </row>
    <row r="28" spans="7:7" x14ac:dyDescent="0.25">
      <c r="G28" s="24"/>
    </row>
    <row r="29" spans="7:7" x14ac:dyDescent="0.25">
      <c r="G29" s="24"/>
    </row>
    <row r="30" spans="7:7" x14ac:dyDescent="0.25">
      <c r="G30" s="24"/>
    </row>
    <row r="31" spans="7:7" x14ac:dyDescent="0.25">
      <c r="G31" s="24"/>
    </row>
    <row r="32" spans="7:7" x14ac:dyDescent="0.25">
      <c r="G32" s="24"/>
    </row>
    <row r="33" spans="7:7" x14ac:dyDescent="0.25">
      <c r="G33" s="24"/>
    </row>
    <row r="34" spans="7:7" x14ac:dyDescent="0.25">
      <c r="G34" s="24"/>
    </row>
    <row r="35" spans="7:7" x14ac:dyDescent="0.25">
      <c r="G35" s="24"/>
    </row>
    <row r="36" spans="7:7" x14ac:dyDescent="0.25">
      <c r="G36" s="24"/>
    </row>
    <row r="37" spans="7:7" x14ac:dyDescent="0.25">
      <c r="G37" s="24"/>
    </row>
    <row r="38" spans="7:7" x14ac:dyDescent="0.25">
      <c r="G38" s="24"/>
    </row>
    <row r="39" spans="7:7" x14ac:dyDescent="0.25">
      <c r="G39" s="24"/>
    </row>
    <row r="40" spans="7:7" x14ac:dyDescent="0.25">
      <c r="G40" s="24"/>
    </row>
    <row r="41" spans="7:7" x14ac:dyDescent="0.25">
      <c r="G41" s="24"/>
    </row>
    <row r="42" spans="7:7" x14ac:dyDescent="0.25">
      <c r="G42" s="24"/>
    </row>
    <row r="43" spans="7:7" x14ac:dyDescent="0.25">
      <c r="G43" s="24"/>
    </row>
    <row r="44" spans="7:7" x14ac:dyDescent="0.25">
      <c r="G44" s="24"/>
    </row>
    <row r="45" spans="7:7" x14ac:dyDescent="0.25">
      <c r="G45" s="24"/>
    </row>
    <row r="46" spans="7:7" x14ac:dyDescent="0.25">
      <c r="G46" s="24"/>
    </row>
    <row r="47" spans="7:7" x14ac:dyDescent="0.25">
      <c r="G47" s="24"/>
    </row>
    <row r="48" spans="7:7" x14ac:dyDescent="0.25">
      <c r="G48" s="24"/>
    </row>
    <row r="49" spans="7:7" x14ac:dyDescent="0.25">
      <c r="G49" s="24"/>
    </row>
    <row r="50" spans="7:7" x14ac:dyDescent="0.25">
      <c r="G50" s="24"/>
    </row>
    <row r="51" spans="7:7" x14ac:dyDescent="0.25">
      <c r="G51" s="24"/>
    </row>
    <row r="52" spans="7:7" x14ac:dyDescent="0.25">
      <c r="G52" s="24"/>
    </row>
    <row r="53" spans="7:7" x14ac:dyDescent="0.25">
      <c r="G53" s="24"/>
    </row>
    <row r="54" spans="7:7" x14ac:dyDescent="0.25">
      <c r="G54" s="24"/>
    </row>
    <row r="55" spans="7:7" x14ac:dyDescent="0.25">
      <c r="G55" s="24"/>
    </row>
    <row r="56" spans="7:7" x14ac:dyDescent="0.25">
      <c r="G56" s="2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2026-03-26T15:09:09Z</dcterms:modified>
</cp:coreProperties>
</file>